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<sst xmlns="http://schemas.openxmlformats.org/spreadsheetml/2006/main" count="124" uniqueCount="64">
  <si>
    <t>序号</t>
  </si>
  <si>
    <t>货主全称</t>
  </si>
  <si>
    <t>本单调度员</t>
  </si>
  <si>
    <t>运输类型</t>
  </si>
  <si>
    <t>运输方式</t>
  </si>
  <si>
    <t>结算方式</t>
  </si>
  <si>
    <t>业务类型</t>
  </si>
  <si>
    <t>柜型</t>
  </si>
  <si>
    <t>货物类型</t>
  </si>
  <si>
    <t>货物名称</t>
  </si>
  <si>
    <t>货物单位</t>
  </si>
  <si>
    <t>货物毛重/吨</t>
  </si>
  <si>
    <t>货物数量</t>
  </si>
  <si>
    <t>做柜时间</t>
  </si>
  <si>
    <t>业务操作人</t>
  </si>
  <si>
    <t>路线</t>
  </si>
  <si>
    <t>司机</t>
  </si>
  <si>
    <t>司机手机号</t>
  </si>
  <si>
    <t>车牌</t>
  </si>
  <si>
    <t>税点</t>
  </si>
  <si>
    <t>业务时间</t>
  </si>
  <si>
    <t>装/卸货时间</t>
  </si>
  <si>
    <t>柜号</t>
  </si>
  <si>
    <t>补充说明</t>
  </si>
  <si>
    <t>应收运费</t>
  </si>
  <si>
    <t>支出运费</t>
  </si>
  <si>
    <t>油卡费用</t>
  </si>
  <si>
    <t>尿素费用</t>
  </si>
  <si>
    <t>维修费用</t>
  </si>
  <si>
    <t>司机工资</t>
  </si>
  <si>
    <t>其他费用</t>
  </si>
  <si>
    <t>xxxxx物流有限公司</t>
  </si>
  <si>
    <t>张三</t>
  </si>
  <si>
    <t>普货运输</t>
  </si>
  <si>
    <t>长途</t>
  </si>
  <si>
    <t>到付</t>
  </si>
  <si>
    <t>其他</t>
  </si>
  <si>
    <t>其它</t>
  </si>
  <si>
    <t>车</t>
  </si>
  <si>
    <t>西安短驳</t>
  </si>
  <si>
    <t xml:space="preserve">宁波-宁波海曙-西安 </t>
  </si>
  <si>
    <t>李四</t>
  </si>
  <si>
    <t>18300000001</t>
  </si>
  <si>
    <t>豫Dxxxx</t>
  </si>
  <si>
    <t>xxxxxx</t>
  </si>
  <si>
    <t>货主简称</t>
  </si>
  <si>
    <t>订单所属公司</t>
  </si>
  <si>
    <t>西安万嘉</t>
  </si>
  <si>
    <t>平顶山市豫鑫汽车运输有限责任公司</t>
  </si>
  <si>
    <t>豆妹</t>
  </si>
  <si>
    <t>回程短驳</t>
  </si>
  <si>
    <t>40HC</t>
  </si>
  <si>
    <t>钢铁</t>
  </si>
  <si>
    <t>胡克</t>
  </si>
  <si>
    <t>公司-工地</t>
  </si>
  <si>
    <t>顾筝</t>
  </si>
  <si>
    <t>豫D90159</t>
  </si>
  <si>
    <t>FLSU6010030</t>
  </si>
  <si>
    <t>中林国铁</t>
  </si>
  <si>
    <t>去程短驳</t>
  </si>
  <si>
    <t>豫D95397</t>
  </si>
  <si>
    <t>NTCU2221674</t>
  </si>
  <si>
    <t>密尔克卫</t>
  </si>
  <si>
    <t>钢铁1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</si>
</sst>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"/>
    <numFmt numFmtId="177" formatCode="yyyy/m/d\ h:mm;@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189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5" fontId="0" fillId="0" borderId="1" xfId="0" applyNumberFormat="1" applyFont="1" applyFill="1" applyBorder="1" applyAlignment="1">
      <alignment horizontal="center"/>
    </xf>
    <xf numFmtId="5" fontId="0" fillId="0" borderId="1" xfId="0" applyNumberFormat="1" applyFont="1" applyFill="1" applyBorder="1" applyAlignment="1">
      <alignment horizontal="center" vertical="center"/>
    </xf>
    <xf numFmtId="5" fontId="0" fillId="0" borderId="1" xfId="0" applyNumberFormat="1" applyFill="1" applyBorder="1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176" fontId="0" fillId="2" borderId="1" xfId="0" applyNumberFormat="1" applyFont="1" applyFill="1" applyBorder="1" applyAlignment="1">
      <alignment horizontal="center"/>
    </xf>
    <xf numFmtId="177" fontId="0" fillId="2" borderId="1" xfId="0" applyNumberFormat="1" applyFont="1" applyFill="1" applyBorder="1" applyAlignment="1">
      <alignment horizontal="center"/>
    </xf>
    <xf numFmtId="176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zoomScale="102" zoomScaleNormal="102" topLeftCell="N1" workbookViewId="0">
      <pane ySplit="1" topLeftCell="A2" activePane="bottomLeft" state="frozen"/>
      <selection/>
      <selection pane="bottomLeft" activeCell="W8" sqref="W8"/>
    </sheetView>
  </sheetViews>
  <sheetFormatPr defaultColWidth="9" defaultRowHeight="16.8" outlineLevelRow="1"/>
  <cols>
    <col min="2" max="2" width="49.6346153846154" customWidth="1"/>
    <col min="3" max="7" width="22" customWidth="1"/>
    <col min="8" max="8" width="18.2211538461538" customWidth="1"/>
    <col min="9" max="9" width="16.3365384615385" customWidth="1"/>
    <col min="10" max="10" width="22" customWidth="1"/>
    <col min="11" max="11" width="16.9615384615385" customWidth="1"/>
    <col min="12" max="12" width="22" customWidth="1"/>
    <col min="13" max="13" width="12.4134615384615" customWidth="1"/>
    <col min="14" max="14" width="22" customWidth="1"/>
    <col min="15" max="15" width="23.25" customWidth="1"/>
    <col min="16" max="16" width="24.9711538461538" customWidth="1"/>
    <col min="17" max="18" width="23.125" customWidth="1"/>
    <col min="19" max="20" width="15.1538461538462" customWidth="1"/>
    <col min="21" max="21" width="15.1538461538462" style="15" customWidth="1"/>
    <col min="22" max="22" width="32.3557692307692" style="16" customWidth="1"/>
    <col min="23" max="23" width="15.1538461538462" customWidth="1"/>
  </cols>
  <sheetData>
    <row r="1" s="14" customFormat="1" spans="1:3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8" t="s">
        <v>6</v>
      </c>
      <c r="H1" s="18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9" t="s">
        <v>20</v>
      </c>
      <c r="V1" s="20" t="s">
        <v>21</v>
      </c>
      <c r="W1" s="1" t="s">
        <v>22</v>
      </c>
      <c r="X1" s="1" t="s">
        <v>23</v>
      </c>
      <c r="Y1" s="23" t="s">
        <v>24</v>
      </c>
      <c r="Z1" s="23" t="s">
        <v>25</v>
      </c>
      <c r="AA1" s="24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</row>
    <row r="2" s="14" customFormat="1" ht="17" spans="1:31">
      <c r="A2" s="4">
        <v>1</v>
      </c>
      <c r="B2" s="1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/>
      <c r="H2" s="7"/>
      <c r="I2" s="7" t="s">
        <v>36</v>
      </c>
      <c r="J2" s="7" t="s">
        <v>37</v>
      </c>
      <c r="K2" s="7" t="s">
        <v>38</v>
      </c>
      <c r="L2" s="4">
        <v>1</v>
      </c>
      <c r="M2" s="4">
        <v>1</v>
      </c>
      <c r="N2" s="7">
        <v>44835</v>
      </c>
      <c r="O2" s="7" t="s">
        <v>39</v>
      </c>
      <c r="P2" s="7" t="s">
        <v>40</v>
      </c>
      <c r="Q2" s="4" t="s">
        <v>41</v>
      </c>
      <c r="R2" s="26" t="s">
        <v>42</v>
      </c>
      <c r="S2" s="4" t="s">
        <v>43</v>
      </c>
      <c r="T2" s="4">
        <v>9</v>
      </c>
      <c r="U2" s="21">
        <v>45017</v>
      </c>
      <c r="V2" s="22">
        <v>45021.4666666667</v>
      </c>
      <c r="W2" s="4" t="s">
        <v>44</v>
      </c>
      <c r="X2" s="4"/>
      <c r="Y2" s="12">
        <v>300</v>
      </c>
      <c r="Z2" s="12">
        <v>240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</row>
  </sheetData>
  <conditionalFormatting sqref="W1"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W2">
    <cfRule type="duplicateValues" dxfId="0" priority="1"/>
  </conditionalFormatting>
  <dataValidations count="7">
    <dataValidation allowBlank="1" showInputMessage="1" showErrorMessage="1" sqref="E1"/>
    <dataValidation type="list" allowBlank="1" showInputMessage="1" showErrorMessage="1" sqref="I2">
      <formula1>"其它,石油、天然气及制品,金属矿石,钢铁,矿建材料,水泥,木材,非金属矿石,化肥及农药,盐,粮食,机械、设备、电器,轻工原料及制品,有色金属,轻工医药产品,鲜活农产品,冷藏冷冻货物,商品汽车,快递"</formula1>
    </dataValidation>
    <dataValidation type="list" allowBlank="1" showInputMessage="1" showErrorMessage="1" sqref="D$1:D$1048576 E441:E1048576">
      <formula1>"普货运输,集装箱运输"</formula1>
    </dataValidation>
    <dataValidation type="list" allowBlank="1" showInputMessage="1" showErrorMessage="1" sqref="E2:E359">
      <formula1>"长途,短驳（内部）,短驳（外部）"</formula1>
    </dataValidation>
    <dataValidation type="list" allowBlank="1" showInputMessage="1" showErrorMessage="1" sqref="E360:E440">
      <formula1>"长途,短驳（长途）,短驳（短途）"</formula1>
    </dataValidation>
    <dataValidation type="list" allowBlank="1" showInputMessage="1" showErrorMessage="1" sqref="F$1:F$1048576">
      <formula1>"到付,挂靠车月结,外调车月结,自有车结算"</formula1>
    </dataValidation>
    <dataValidation type="list" allowBlank="1" showInputMessage="1" showErrorMessage="1" sqref="K$1:K$1048576">
      <formula1>"车,箱,件,吨"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zoomScale="102" zoomScaleNormal="102" topLeftCell="B1" workbookViewId="0">
      <pane ySplit="1" topLeftCell="A2" activePane="bottomLeft" state="frozen"/>
      <selection/>
      <selection pane="bottomLeft" activeCell="B2" sqref="$A2:$XFD2"/>
    </sheetView>
  </sheetViews>
  <sheetFormatPr defaultColWidth="9" defaultRowHeight="16.8" outlineLevelRow="4"/>
  <cols>
    <col min="2" max="6" width="22" customWidth="1"/>
    <col min="7" max="7" width="18.2211538461538" customWidth="1"/>
    <col min="8" max="8" width="16.3365384615385" customWidth="1"/>
    <col min="9" max="9" width="22" customWidth="1"/>
    <col min="10" max="10" width="16.9615384615385" customWidth="1"/>
    <col min="11" max="11" width="22" customWidth="1"/>
    <col min="12" max="12" width="12.4134615384615" customWidth="1"/>
    <col min="13" max="13" width="22" customWidth="1"/>
    <col min="14" max="14" width="23.25" customWidth="1"/>
    <col min="15" max="15" width="20.75" customWidth="1"/>
    <col min="16" max="17" width="23.125" customWidth="1"/>
    <col min="18" max="19" width="15.1538461538462" customWidth="1"/>
  </cols>
  <sheetData>
    <row r="1" spans="1:23">
      <c r="A1" s="1" t="s">
        <v>0</v>
      </c>
      <c r="B1" s="2" t="s">
        <v>45</v>
      </c>
      <c r="C1" s="2" t="s">
        <v>46</v>
      </c>
      <c r="D1" s="3" t="s">
        <v>2</v>
      </c>
      <c r="E1" s="3" t="s">
        <v>3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22</v>
      </c>
      <c r="T1" s="1" t="s">
        <v>23</v>
      </c>
      <c r="U1" s="11" t="s">
        <v>24</v>
      </c>
      <c r="V1" s="11" t="s">
        <v>25</v>
      </c>
      <c r="W1" t="s">
        <v>26</v>
      </c>
    </row>
    <row r="2" spans="1:23">
      <c r="A2" s="4">
        <v>1</v>
      </c>
      <c r="B2" s="5" t="s">
        <v>47</v>
      </c>
      <c r="C2" s="6" t="s">
        <v>48</v>
      </c>
      <c r="D2" s="7" t="s">
        <v>49</v>
      </c>
      <c r="E2" s="7" t="s">
        <v>33</v>
      </c>
      <c r="F2" s="7" t="s">
        <v>50</v>
      </c>
      <c r="G2" s="7" t="s">
        <v>51</v>
      </c>
      <c r="H2" s="7" t="s">
        <v>52</v>
      </c>
      <c r="I2" s="7" t="s">
        <v>52</v>
      </c>
      <c r="J2" s="7" t="s">
        <v>38</v>
      </c>
      <c r="K2" s="8">
        <v>50</v>
      </c>
      <c r="L2" s="8">
        <v>1</v>
      </c>
      <c r="M2" s="7">
        <v>44835</v>
      </c>
      <c r="N2" s="7" t="s">
        <v>53</v>
      </c>
      <c r="O2" s="7" t="s">
        <v>54</v>
      </c>
      <c r="P2" s="4" t="s">
        <v>55</v>
      </c>
      <c r="Q2" s="10">
        <v>18336769101</v>
      </c>
      <c r="R2" s="4" t="s">
        <v>56</v>
      </c>
      <c r="S2" s="4" t="s">
        <v>57</v>
      </c>
      <c r="T2" s="4"/>
      <c r="U2" s="12">
        <v>300</v>
      </c>
      <c r="V2" s="12">
        <v>240</v>
      </c>
      <c r="W2">
        <v>0</v>
      </c>
    </row>
    <row r="3" spans="1:23">
      <c r="A3" s="4">
        <v>2</v>
      </c>
      <c r="B3" s="5" t="s">
        <v>58</v>
      </c>
      <c r="C3" s="6" t="s">
        <v>48</v>
      </c>
      <c r="D3" s="7" t="s">
        <v>49</v>
      </c>
      <c r="E3" s="7" t="s">
        <v>33</v>
      </c>
      <c r="F3" s="7" t="s">
        <v>59</v>
      </c>
      <c r="G3" s="7" t="s">
        <v>51</v>
      </c>
      <c r="H3" s="7" t="s">
        <v>52</v>
      </c>
      <c r="I3" s="7" t="s">
        <v>52</v>
      </c>
      <c r="J3" s="7" t="s">
        <v>38</v>
      </c>
      <c r="K3" s="8">
        <v>50</v>
      </c>
      <c r="L3" s="8">
        <v>1</v>
      </c>
      <c r="M3" s="7">
        <v>44835</v>
      </c>
      <c r="N3" s="7" t="s">
        <v>53</v>
      </c>
      <c r="O3" s="7" t="s">
        <v>54</v>
      </c>
      <c r="P3" s="4" t="s">
        <v>55</v>
      </c>
      <c r="Q3" s="10">
        <v>18336769101</v>
      </c>
      <c r="R3" s="4" t="s">
        <v>60</v>
      </c>
      <c r="S3" s="4" t="s">
        <v>61</v>
      </c>
      <c r="T3" s="4"/>
      <c r="U3" s="12">
        <v>300</v>
      </c>
      <c r="V3" s="12">
        <v>240</v>
      </c>
      <c r="W3">
        <v>0</v>
      </c>
    </row>
    <row r="4" ht="18" customHeight="1" spans="1:23">
      <c r="A4" s="8">
        <v>3</v>
      </c>
      <c r="B4" s="9" t="s">
        <v>62</v>
      </c>
      <c r="C4" s="6" t="s">
        <v>48</v>
      </c>
      <c r="D4" s="7" t="s">
        <v>49</v>
      </c>
      <c r="E4" s="8" t="s">
        <v>33</v>
      </c>
      <c r="F4" s="7" t="s">
        <v>59</v>
      </c>
      <c r="G4" s="8" t="s">
        <v>51</v>
      </c>
      <c r="H4" s="8" t="s">
        <v>52</v>
      </c>
      <c r="I4" s="8" t="s">
        <v>52</v>
      </c>
      <c r="J4" s="8" t="s">
        <v>38</v>
      </c>
      <c r="K4" s="8">
        <v>50</v>
      </c>
      <c r="L4" s="8">
        <v>1</v>
      </c>
      <c r="M4" s="7">
        <v>44835</v>
      </c>
      <c r="N4" s="7" t="s">
        <v>53</v>
      </c>
      <c r="O4" s="7" t="s">
        <v>54</v>
      </c>
      <c r="P4" s="8" t="s">
        <v>55</v>
      </c>
      <c r="Q4" s="10">
        <v>18336769101</v>
      </c>
      <c r="R4" s="4" t="s">
        <v>60</v>
      </c>
      <c r="S4" s="4" t="s">
        <v>61</v>
      </c>
      <c r="T4" s="8"/>
      <c r="U4" s="13">
        <f>SUM(U2:U3)</f>
        <v>600</v>
      </c>
      <c r="V4" s="13">
        <f>SUM(V2:V3)</f>
        <v>480</v>
      </c>
      <c r="W4">
        <v>0</v>
      </c>
    </row>
    <row r="5" ht="18" customHeight="1" spans="1:23">
      <c r="A5" s="8">
        <v>4</v>
      </c>
      <c r="B5" s="9" t="s">
        <v>62</v>
      </c>
      <c r="C5" s="6" t="s">
        <v>48</v>
      </c>
      <c r="D5" s="7" t="s">
        <v>49</v>
      </c>
      <c r="E5" s="8" t="s">
        <v>33</v>
      </c>
      <c r="F5" s="7" t="s">
        <v>59</v>
      </c>
      <c r="G5" s="8" t="s">
        <v>51</v>
      </c>
      <c r="H5" s="8" t="s">
        <v>52</v>
      </c>
      <c r="I5" s="8" t="s">
        <v>63</v>
      </c>
      <c r="J5" s="8" t="s">
        <v>38</v>
      </c>
      <c r="K5" s="8">
        <v>50</v>
      </c>
      <c r="L5" s="8">
        <v>2</v>
      </c>
      <c r="M5" s="7">
        <v>44835</v>
      </c>
      <c r="N5" s="7" t="s">
        <v>53</v>
      </c>
      <c r="O5" s="7" t="s">
        <v>54</v>
      </c>
      <c r="P5" s="8" t="s">
        <v>55</v>
      </c>
      <c r="Q5" s="10">
        <v>18336769101</v>
      </c>
      <c r="R5" s="4" t="s">
        <v>60</v>
      </c>
      <c r="S5" s="4" t="s">
        <v>61</v>
      </c>
      <c r="T5" s="8"/>
      <c r="U5" s="13">
        <f>SUM(U3:U4)</f>
        <v>900</v>
      </c>
      <c r="V5" s="13">
        <f>SUM(V3:V4)</f>
        <v>720</v>
      </c>
      <c r="W5">
        <v>0</v>
      </c>
    </row>
  </sheetData>
  <conditionalFormatting sqref="S1"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S2">
    <cfRule type="duplicateValues" dxfId="0" priority="4"/>
  </conditionalFormatting>
  <conditionalFormatting sqref="S3">
    <cfRule type="duplicateValues" dxfId="0" priority="3"/>
  </conditionalFormatting>
  <conditionalFormatting sqref="S4">
    <cfRule type="duplicateValues" dxfId="0" priority="2"/>
  </conditionalFormatting>
  <conditionalFormatting sqref="S5">
    <cfRule type="duplicateValues" dxfId="0" priority="1"/>
  </conditionalFormatting>
  <dataValidations count="1">
    <dataValidation type="list" allowBlank="1" showInputMessage="1" showErrorMessage="1" sqref="E$1:E$1048576">
      <formula1>"普货运输,集装箱运输"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pengyibo</dc:creator>
  <cp:lastModifiedBy>蓝色幽默</cp:lastModifiedBy>
  <dcterms:created xsi:type="dcterms:W3CDTF">2022-11-09T01:58:00Z</dcterms:created>
  <dcterms:modified xsi:type="dcterms:W3CDTF">2026-03-25T15:45:48Z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235A4CE3FD044914BCF29DE60F0E3601</vt:lpwstr>
  </property>
  <property fmtid="{D5CDD505-2E9C-101B-9397-08002B2CF9AE}" pid="3" name="KSOProductBuildVer">
    <vt:lpwstr>2052-7.3.1.8967</vt:lpwstr>
  </property>
</Properties>
</file>